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A49D0FA-7640-4810-9DAC-9046008F8E1D}" xr6:coauthVersionLast="47" xr6:coauthVersionMax="47" xr10:uidLastSave="{00000000-0000-0000-0000-000000000000}"/>
  <bookViews>
    <workbookView xWindow="-108" yWindow="-108" windowWidth="23256" windowHeight="12456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G2" i="1"/>
  <c r="F3" i="1"/>
  <c r="G3" i="1" s="1"/>
  <c r="F4" i="1"/>
  <c r="G4" i="1" s="1"/>
  <c r="F5" i="1"/>
  <c r="G5" i="1" s="1"/>
  <c r="F6" i="1"/>
  <c r="G6" i="1"/>
  <c r="F7" i="1"/>
  <c r="G7" i="1" s="1"/>
  <c r="F8" i="1"/>
  <c r="G8" i="1" s="1"/>
  <c r="F9" i="1"/>
  <c r="G9" i="1"/>
  <c r="F10" i="1"/>
  <c r="G10" i="1" s="1"/>
  <c r="F11" i="1"/>
  <c r="G11" i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/>
  <c r="F19" i="1"/>
  <c r="G19" i="1" s="1"/>
  <c r="F20" i="1"/>
  <c r="G20" i="1"/>
  <c r="F21" i="1"/>
  <c r="G21" i="1"/>
  <c r="F22" i="1"/>
  <c r="G22" i="1" s="1"/>
  <c r="F23" i="1"/>
  <c r="G23" i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</calcChain>
</file>

<file path=xl/sharedStrings.xml><?xml version="1.0" encoding="utf-8"?>
<sst xmlns="http://schemas.openxmlformats.org/spreadsheetml/2006/main" count="37" uniqueCount="37">
  <si>
    <t>Name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</si>
  <si>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</si>
  <si>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</si>
  <si>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</si>
  <si>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</si>
  <si>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</si>
  <si>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</si>
  <si>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</si>
  <si>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</si>
  <si>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</si>
  <si>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</si>
  <si>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</si>
  <si>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</si>
  <si>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</si>
  <si>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</si>
  <si>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</si>
  <si>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</si>
  <si>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</si>
  <si>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</si>
  <si>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</si>
  <si>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</si>
  <si>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</si>
  <si>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</si>
  <si>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</si>
  <si>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</si>
  <si>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</si>
  <si>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</si>
  <si>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</si>
  <si>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</si>
  <si>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</si>
  <si>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</si>
  <si>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</si>
  <si>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NIM</t>
  </si>
  <si>
    <t>KUIS</t>
  </si>
  <si>
    <t>UTS</t>
  </si>
  <si>
    <t>UAS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</si>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</sst>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6"/>
      <color theme="1"/>
      <name val="Arial"/>
      <family val="2"/>
    </font>
    <font>
      <b/>
      <sz val="16"/>
      <color rgb="FFFFFFFF"/>
      <name val="Arial"/>
      <family val="2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1:N48"/>
  <sheetViews>
    <sheetView tabSelected="1" zoomScale="55" zoomScaleNormal="55" workbookViewId="0">
      <selection activeCell="C1" sqref="C1"/>
    </sheetView>
  </sheetViews>
  <sheetFormatPr defaultRowHeight="14.4" x14ac:dyDescent="0.3"/>
  <cols>
    <col min="1" max="1" width="11.6640625" style="1" bestFit="1" customWidth="1"/>
    <col min="2" max="2" width="28.21875" style="1" bestFit="1" customWidth="1"/>
    <col min="3" max="3" width="8.5546875" style="1" customWidth="1"/>
    <col min="4" max="4" width="7.5546875" style="1" bestFit="1" customWidth="1"/>
    <col min="5" max="5" width="7.77734375" style="1" bestFit="1" customWidth="1"/>
    <col min="6" max="6" width="8.109375" style="1" bestFit="1" customWidth="1"/>
    <col min="7" max="7" width="10.21875" style="1" bestFit="1" customWidth="1"/>
    <col min="8" max="8" width="21.88671875" style="1" customWidth="1"/>
    <col min="11" max="11" width="28.77734375" customWidth="1"/>
    <col min="12" max="12" width="29.109375" customWidth="1"/>
    <col min="13" max="13" width="16.33203125" customWidth="1"/>
    <col min="14" max="14" width="22.33203125" customWidth="1"/>
  </cols>
  <sheetData>
    <row r="1" spans="1:13" ht="21" x14ac:dyDescent="0.3">
      <c r="A1" s="6" t="s">
        <v>32</v>
      </c>
      <c r="B1" s="6" t="s">
        <v>0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1</v>
      </c>
      <c r="H1"/>
    </row>
    <row r="2" spans="1:13" ht="20.399999999999999" x14ac:dyDescent="0.35">
      <c r="A2" s="3">
        <v>120001</v>
      </c>
      <c r="B2" s="4" t="s">
        <v>2</v>
      </c>
      <c r="C2" s="3">
        <v>85</v>
      </c>
      <c r="D2" s="3">
        <v>78</v>
      </c>
      <c r="E2" s="3">
        <v>90</v>
      </c>
      <c r="F2" s="5">
        <f>C2*32%+D2*33%+E2*35%</f>
        <v>84.44</v>
      </c>
      <c r="G2" s="3" t="str">
        <f>IF(F2&gt;=81,"A",IF(F2&gt;=76,"AB",IF(F2&gt;=66,"B",IF(F2&gt;=61,"BC",IF(F2&gt;=51,"C",IF(F2&gt;=41,"D","E"))))))</f>
        <v>A</v>
      </c>
      <c r="H2" s="2"/>
      <c r="I2" s="2"/>
      <c r="J2" s="2"/>
      <c r="K2" s="2"/>
      <c r="L2" s="2"/>
      <c r="M2" s="2"/>
    </row>
    <row r="3" spans="1:13" ht="20.399999999999999" x14ac:dyDescent="0.35">
      <c r="A3" s="3">
        <v>120005</v>
      </c>
      <c r="B3" s="4" t="s">
        <v>3</v>
      </c>
      <c r="C3" s="3">
        <v>92</v>
      </c>
      <c r="D3" s="3">
        <v>88</v>
      </c>
      <c r="E3" s="3">
        <v>94</v>
      </c>
      <c r="F3" s="5">
        <f t="shared" ref="F3:F30" si="0">C3*32%+D3*33%+E3*35%</f>
        <v>91.38</v>
      </c>
      <c r="G3" s="3" t="str">
        <f t="shared" ref="G3:G31" si="1">IF(F3&gt;=81,"A",IF(F3&gt;=76,"AB",IF(F3&gt;=66,"B",IF(F3&gt;=61,"BC",IF(F3&gt;=51,"C",IF(F3&gt;=41,"D","E"))))))</f>
        <v>A</v>
      </c>
      <c r="H3" s="2"/>
      <c r="I3" s="2"/>
      <c r="J3" s="2"/>
      <c r="K3" s="2"/>
      <c r="L3" s="2"/>
      <c r="M3" s="2"/>
    </row>
    <row r="4" spans="1:13" ht="20.399999999999999" x14ac:dyDescent="0.35">
      <c r="A4" s="3">
        <v>120017</v>
      </c>
      <c r="B4" s="4" t="s">
        <v>4</v>
      </c>
      <c r="C4" s="3">
        <v>48</v>
      </c>
      <c r="D4" s="3">
        <v>65</v>
      </c>
      <c r="E4" s="3">
        <v>56</v>
      </c>
      <c r="F4" s="5">
        <f t="shared" si="0"/>
        <v>56.41</v>
      </c>
      <c r="G4" s="3" t="str">
        <f t="shared" si="1"/>
        <v>C</v>
      </c>
      <c r="H4" s="2"/>
      <c r="I4" s="2"/>
      <c r="J4" s="2"/>
      <c r="K4" s="2"/>
      <c r="L4" s="2"/>
      <c r="M4" s="2"/>
    </row>
    <row r="5" spans="1:13" ht="20.399999999999999" x14ac:dyDescent="0.35">
      <c r="A5" s="3">
        <v>120018</v>
      </c>
      <c r="B5" s="4" t="s">
        <v>5</v>
      </c>
      <c r="C5" s="3">
        <v>90</v>
      </c>
      <c r="D5" s="3">
        <v>85</v>
      </c>
      <c r="E5" s="3">
        <v>88</v>
      </c>
      <c r="F5" s="5">
        <f t="shared" si="0"/>
        <v>87.65</v>
      </c>
      <c r="G5" s="3" t="str">
        <f t="shared" si="1"/>
        <v>A</v>
      </c>
      <c r="H5" s="2"/>
      <c r="I5" s="2"/>
      <c r="J5" s="2"/>
      <c r="K5" s="2"/>
      <c r="L5" s="2"/>
      <c r="M5" s="2"/>
    </row>
    <row r="6" spans="1:13" ht="20.399999999999999" x14ac:dyDescent="0.35">
      <c r="A6" s="3">
        <v>120022</v>
      </c>
      <c r="B6" s="4" t="s">
        <v>6</v>
      </c>
      <c r="C6" s="3">
        <v>75</v>
      </c>
      <c r="D6" s="3">
        <v>80</v>
      </c>
      <c r="E6" s="3">
        <v>77</v>
      </c>
      <c r="F6" s="5">
        <f t="shared" si="0"/>
        <v>77.350000000000009</v>
      </c>
      <c r="G6" s="3" t="str">
        <f t="shared" si="1"/>
        <v>AB</v>
      </c>
      <c r="H6" s="2"/>
      <c r="I6" s="2"/>
      <c r="J6" s="2"/>
      <c r="K6" s="2"/>
      <c r="L6" s="2"/>
      <c r="M6" s="2"/>
    </row>
    <row r="7" spans="1:13" ht="20.399999999999999" x14ac:dyDescent="0.35">
      <c r="A7" s="3">
        <v>120024</v>
      </c>
      <c r="B7" s="4" t="s">
        <v>7</v>
      </c>
      <c r="C7" s="3">
        <v>88</v>
      </c>
      <c r="D7" s="3">
        <v>70</v>
      </c>
      <c r="E7" s="3">
        <v>65</v>
      </c>
      <c r="F7" s="5">
        <f t="shared" si="0"/>
        <v>74.010000000000005</v>
      </c>
      <c r="G7" s="3" t="str">
        <f t="shared" si="1"/>
        <v>B</v>
      </c>
      <c r="H7" s="2"/>
      <c r="I7" s="2"/>
    </row>
    <row r="8" spans="1:13" ht="20.399999999999999" x14ac:dyDescent="0.35">
      <c r="A8" s="3">
        <v>120025</v>
      </c>
      <c r="B8" s="4" t="s">
        <v>8</v>
      </c>
      <c r="C8" s="3">
        <v>75</v>
      </c>
      <c r="D8" s="3">
        <v>70</v>
      </c>
      <c r="E8" s="3">
        <v>75</v>
      </c>
      <c r="F8" s="5">
        <f t="shared" si="0"/>
        <v>73.349999999999994</v>
      </c>
      <c r="G8" s="3" t="str">
        <f t="shared" si="1"/>
        <v>B</v>
      </c>
      <c r="H8" s="2"/>
      <c r="I8" s="2"/>
    </row>
    <row r="9" spans="1:13" ht="20.399999999999999" x14ac:dyDescent="0.35">
      <c r="A9" s="3">
        <v>120027</v>
      </c>
      <c r="B9" s="4" t="s">
        <v>9</v>
      </c>
      <c r="C9" s="3">
        <v>95</v>
      </c>
      <c r="D9" s="3">
        <v>91</v>
      </c>
      <c r="E9" s="3">
        <v>96</v>
      </c>
      <c r="F9" s="5">
        <f t="shared" si="0"/>
        <v>94.03</v>
      </c>
      <c r="G9" s="3" t="str">
        <f t="shared" si="1"/>
        <v>A</v>
      </c>
      <c r="H9" s="2"/>
      <c r="I9" s="2"/>
    </row>
    <row r="10" spans="1:13" ht="20.399999999999999" x14ac:dyDescent="0.35">
      <c r="A10" s="3">
        <v>120034</v>
      </c>
      <c r="B10" s="4" t="s">
        <v>10</v>
      </c>
      <c r="C10" s="3">
        <v>79</v>
      </c>
      <c r="D10" s="3">
        <v>84</v>
      </c>
      <c r="E10" s="3">
        <v>78</v>
      </c>
      <c r="F10" s="5">
        <f t="shared" si="0"/>
        <v>80.3</v>
      </c>
      <c r="G10" s="3" t="str">
        <f t="shared" si="1"/>
        <v>AB</v>
      </c>
      <c r="H10" s="2"/>
      <c r="I10" s="2"/>
    </row>
    <row r="11" spans="1:13" ht="20.399999999999999" x14ac:dyDescent="0.35">
      <c r="A11" s="3">
        <v>120035</v>
      </c>
      <c r="B11" s="4" t="s">
        <v>11</v>
      </c>
      <c r="C11" s="3">
        <v>42</v>
      </c>
      <c r="D11" s="3">
        <v>48</v>
      </c>
      <c r="E11" s="3">
        <v>63</v>
      </c>
      <c r="F11" s="5">
        <f t="shared" si="0"/>
        <v>51.33</v>
      </c>
      <c r="G11" s="3" t="str">
        <f t="shared" si="1"/>
        <v>C</v>
      </c>
      <c r="H11" s="2"/>
      <c r="I11" s="2"/>
    </row>
    <row r="12" spans="1:13" ht="20.399999999999999" x14ac:dyDescent="0.35">
      <c r="A12" s="3">
        <v>120036</v>
      </c>
      <c r="B12" s="4" t="s">
        <v>12</v>
      </c>
      <c r="C12" s="3">
        <v>53</v>
      </c>
      <c r="D12" s="3">
        <v>64</v>
      </c>
      <c r="E12" s="3">
        <v>59</v>
      </c>
      <c r="F12" s="5">
        <f t="shared" si="0"/>
        <v>58.73</v>
      </c>
      <c r="G12" s="3" t="str">
        <f t="shared" si="1"/>
        <v>C</v>
      </c>
      <c r="H12" s="2"/>
      <c r="I12" s="2"/>
    </row>
    <row r="13" spans="1:13" ht="20.399999999999999" x14ac:dyDescent="0.35">
      <c r="A13" s="3">
        <v>120038</v>
      </c>
      <c r="B13" s="4" t="s">
        <v>13</v>
      </c>
      <c r="C13" s="3">
        <v>91</v>
      </c>
      <c r="D13" s="3">
        <v>95</v>
      </c>
      <c r="E13" s="3">
        <v>90</v>
      </c>
      <c r="F13" s="5">
        <f t="shared" si="0"/>
        <v>91.97</v>
      </c>
      <c r="G13" s="3" t="str">
        <f t="shared" si="1"/>
        <v>A</v>
      </c>
      <c r="H13" s="2"/>
      <c r="I13" s="2"/>
    </row>
    <row r="14" spans="1:13" ht="20.399999999999999" x14ac:dyDescent="0.35">
      <c r="A14" s="3">
        <v>120039</v>
      </c>
      <c r="B14" s="4" t="s">
        <v>14</v>
      </c>
      <c r="C14" s="3">
        <v>76</v>
      </c>
      <c r="D14" s="3">
        <v>81</v>
      </c>
      <c r="E14" s="3">
        <v>75</v>
      </c>
      <c r="F14" s="5">
        <f t="shared" si="0"/>
        <v>77.3</v>
      </c>
      <c r="G14" s="3" t="str">
        <f t="shared" si="1"/>
        <v>AB</v>
      </c>
      <c r="H14" s="2"/>
      <c r="I14" s="2"/>
      <c r="J14" s="2"/>
      <c r="K14" s="2"/>
      <c r="L14" s="2"/>
      <c r="M14" s="2"/>
    </row>
    <row r="15" spans="1:13" ht="20.399999999999999" x14ac:dyDescent="0.35">
      <c r="A15" s="3">
        <v>120046</v>
      </c>
      <c r="B15" s="4" t="s">
        <v>15</v>
      </c>
      <c r="C15" s="3">
        <v>89</v>
      </c>
      <c r="D15" s="3">
        <v>93</v>
      </c>
      <c r="E15" s="3">
        <v>88</v>
      </c>
      <c r="F15" s="5">
        <f t="shared" si="0"/>
        <v>89.97</v>
      </c>
      <c r="G15" s="3" t="str">
        <f t="shared" si="1"/>
        <v>A</v>
      </c>
      <c r="H15" s="2"/>
      <c r="I15" s="2"/>
      <c r="J15" s="2"/>
      <c r="K15" s="2"/>
      <c r="L15" s="2"/>
      <c r="M15" s="2"/>
    </row>
    <row r="16" spans="1:13" ht="20.399999999999999" x14ac:dyDescent="0.35">
      <c r="A16" s="3">
        <v>120047</v>
      </c>
      <c r="B16" s="4" t="s">
        <v>16</v>
      </c>
      <c r="C16" s="3">
        <v>80</v>
      </c>
      <c r="D16" s="3">
        <v>85</v>
      </c>
      <c r="E16" s="3">
        <v>79</v>
      </c>
      <c r="F16" s="5">
        <f t="shared" si="0"/>
        <v>81.300000000000011</v>
      </c>
      <c r="G16" s="3" t="str">
        <f t="shared" si="1"/>
        <v>A</v>
      </c>
      <c r="H16" s="2"/>
      <c r="I16" s="2"/>
      <c r="L16" s="2"/>
      <c r="M16" s="2"/>
    </row>
    <row r="17" spans="1:14" ht="20.399999999999999" x14ac:dyDescent="0.35">
      <c r="A17" s="3">
        <v>120049</v>
      </c>
      <c r="B17" s="4" t="s">
        <v>17</v>
      </c>
      <c r="C17" s="3">
        <v>94</v>
      </c>
      <c r="D17" s="3">
        <v>90</v>
      </c>
      <c r="E17" s="3">
        <v>95</v>
      </c>
      <c r="F17" s="5">
        <f t="shared" si="0"/>
        <v>93.03</v>
      </c>
      <c r="G17" s="3" t="str">
        <f t="shared" si="1"/>
        <v>A</v>
      </c>
      <c r="H17" s="2"/>
      <c r="I17" s="2"/>
      <c r="L17" s="2"/>
      <c r="M17" s="2"/>
    </row>
    <row r="18" spans="1:14" ht="20.399999999999999" x14ac:dyDescent="0.35">
      <c r="A18" s="3">
        <v>120054</v>
      </c>
      <c r="B18" s="4" t="s">
        <v>18</v>
      </c>
      <c r="C18" s="3">
        <v>77</v>
      </c>
      <c r="D18" s="3">
        <v>82</v>
      </c>
      <c r="E18" s="3">
        <v>76</v>
      </c>
      <c r="F18" s="5">
        <f t="shared" si="0"/>
        <v>78.3</v>
      </c>
      <c r="G18" s="3" t="str">
        <f t="shared" si="1"/>
        <v>AB</v>
      </c>
      <c r="H18" s="2"/>
      <c r="I18" s="2"/>
      <c r="L18" s="2"/>
      <c r="M18" s="2"/>
    </row>
    <row r="19" spans="1:14" ht="20.399999999999999" x14ac:dyDescent="0.35">
      <c r="A19" s="3">
        <v>120060</v>
      </c>
      <c r="B19" s="4" t="s">
        <v>19</v>
      </c>
      <c r="C19" s="3">
        <v>86</v>
      </c>
      <c r="D19" s="3">
        <v>89</v>
      </c>
      <c r="E19" s="3">
        <v>84</v>
      </c>
      <c r="F19" s="5">
        <f t="shared" si="0"/>
        <v>86.289999999999992</v>
      </c>
      <c r="G19" s="3" t="str">
        <f t="shared" si="1"/>
        <v>A</v>
      </c>
      <c r="H19" s="2"/>
      <c r="I19" s="2"/>
      <c r="L19" s="2"/>
      <c r="M19" s="2"/>
    </row>
    <row r="20" spans="1:14" ht="20.399999999999999" x14ac:dyDescent="0.35">
      <c r="A20" s="3">
        <v>120063</v>
      </c>
      <c r="B20" s="4" t="s">
        <v>20</v>
      </c>
      <c r="C20" s="3">
        <v>92</v>
      </c>
      <c r="D20" s="3">
        <v>88</v>
      </c>
      <c r="E20" s="3">
        <v>93</v>
      </c>
      <c r="F20" s="5">
        <f t="shared" si="0"/>
        <v>91.03</v>
      </c>
      <c r="G20" s="3" t="str">
        <f t="shared" si="1"/>
        <v>A</v>
      </c>
      <c r="H20" s="2"/>
      <c r="I20" s="2"/>
      <c r="L20" s="2"/>
      <c r="M20" s="2"/>
    </row>
    <row r="21" spans="1:14" ht="20.399999999999999" x14ac:dyDescent="0.35">
      <c r="A21" s="3">
        <v>120070</v>
      </c>
      <c r="B21" s="4" t="s">
        <v>21</v>
      </c>
      <c r="C21" s="3">
        <v>78</v>
      </c>
      <c r="D21" s="3">
        <v>83</v>
      </c>
      <c r="E21" s="3">
        <v>77</v>
      </c>
      <c r="F21" s="5">
        <f t="shared" si="0"/>
        <v>79.3</v>
      </c>
      <c r="G21" s="3" t="str">
        <f t="shared" si="1"/>
        <v>AB</v>
      </c>
      <c r="H21" s="2"/>
      <c r="I21" s="2"/>
      <c r="L21" s="2"/>
      <c r="M21" s="2"/>
    </row>
    <row r="22" spans="1:14" ht="20.399999999999999" x14ac:dyDescent="0.35">
      <c r="A22" s="3">
        <v>120071</v>
      </c>
      <c r="B22" s="4" t="s">
        <v>22</v>
      </c>
      <c r="C22" s="3">
        <v>41</v>
      </c>
      <c r="D22" s="3">
        <v>53</v>
      </c>
      <c r="E22" s="3">
        <v>44</v>
      </c>
      <c r="F22" s="5">
        <f t="shared" si="0"/>
        <v>46.010000000000005</v>
      </c>
      <c r="G22" s="3" t="str">
        <f t="shared" si="1"/>
        <v>D</v>
      </c>
      <c r="H22" s="2"/>
      <c r="I22" s="2"/>
      <c r="L22" s="2"/>
      <c r="M22" s="2"/>
    </row>
    <row r="23" spans="1:14" ht="20.399999999999999" x14ac:dyDescent="0.35">
      <c r="A23" s="3">
        <v>120073</v>
      </c>
      <c r="B23" s="4" t="s">
        <v>23</v>
      </c>
      <c r="C23" s="3">
        <v>68</v>
      </c>
      <c r="D23" s="3">
        <v>49</v>
      </c>
      <c r="E23" s="3">
        <v>54</v>
      </c>
      <c r="F23" s="5">
        <f t="shared" si="0"/>
        <v>56.830000000000005</v>
      </c>
      <c r="G23" s="3" t="str">
        <f t="shared" si="1"/>
        <v>C</v>
      </c>
      <c r="H23" s="2"/>
      <c r="I23" s="2"/>
      <c r="L23" s="2"/>
      <c r="M23" s="2"/>
    </row>
    <row r="24" spans="1:14" ht="20.399999999999999" x14ac:dyDescent="0.35">
      <c r="A24" s="3">
        <v>120082</v>
      </c>
      <c r="B24" s="4" t="s">
        <v>24</v>
      </c>
      <c r="C24" s="3">
        <v>81</v>
      </c>
      <c r="D24" s="3">
        <v>87</v>
      </c>
      <c r="E24" s="3">
        <v>80</v>
      </c>
      <c r="F24" s="5">
        <f t="shared" si="0"/>
        <v>82.63</v>
      </c>
      <c r="G24" s="3" t="str">
        <f t="shared" si="1"/>
        <v>A</v>
      </c>
      <c r="H24" s="2"/>
      <c r="I24" s="2"/>
      <c r="L24" s="2"/>
      <c r="M24" s="2"/>
    </row>
    <row r="25" spans="1:14" ht="20.399999999999999" x14ac:dyDescent="0.35">
      <c r="A25" s="3">
        <v>120083</v>
      </c>
      <c r="B25" s="4" t="s">
        <v>25</v>
      </c>
      <c r="C25" s="3">
        <v>87</v>
      </c>
      <c r="D25" s="3">
        <v>90</v>
      </c>
      <c r="E25" s="3">
        <v>85</v>
      </c>
      <c r="F25" s="5">
        <f t="shared" si="0"/>
        <v>87.29</v>
      </c>
      <c r="G25" s="3" t="str">
        <f t="shared" si="1"/>
        <v>A</v>
      </c>
      <c r="H25" s="2"/>
      <c r="I25" s="2"/>
      <c r="L25" s="2"/>
      <c r="M25" s="2"/>
    </row>
    <row r="26" spans="1:14" ht="20.399999999999999" x14ac:dyDescent="0.35">
      <c r="A26" s="3">
        <v>120088</v>
      </c>
      <c r="B26" s="4" t="s">
        <v>26</v>
      </c>
      <c r="C26" s="3">
        <v>79</v>
      </c>
      <c r="D26" s="3">
        <v>84</v>
      </c>
      <c r="E26" s="3">
        <v>78</v>
      </c>
      <c r="F26" s="5">
        <f t="shared" si="0"/>
        <v>80.3</v>
      </c>
      <c r="G26" s="3" t="str">
        <f t="shared" si="1"/>
        <v>AB</v>
      </c>
      <c r="H26" s="2"/>
      <c r="I26" s="2"/>
      <c r="L26" s="2"/>
      <c r="M26" s="2"/>
    </row>
    <row r="27" spans="1:14" ht="20.399999999999999" x14ac:dyDescent="0.35">
      <c r="A27" s="3">
        <v>120090</v>
      </c>
      <c r="B27" s="4" t="s">
        <v>27</v>
      </c>
      <c r="C27" s="3">
        <v>70</v>
      </c>
      <c r="D27" s="3">
        <v>77</v>
      </c>
      <c r="E27" s="3">
        <v>64</v>
      </c>
      <c r="F27" s="5">
        <f t="shared" si="0"/>
        <v>70.210000000000008</v>
      </c>
      <c r="G27" s="3" t="str">
        <f t="shared" si="1"/>
        <v>B</v>
      </c>
      <c r="H27" s="2"/>
      <c r="I27" s="2"/>
      <c r="L27" s="2"/>
      <c r="M27" s="2"/>
    </row>
    <row r="28" spans="1:14" ht="20.399999999999999" x14ac:dyDescent="0.35">
      <c r="A28" s="3">
        <v>120093</v>
      </c>
      <c r="B28" s="4" t="s">
        <v>28</v>
      </c>
      <c r="C28" s="3">
        <v>67</v>
      </c>
      <c r="D28" s="3">
        <v>54</v>
      </c>
      <c r="E28" s="3">
        <v>54</v>
      </c>
      <c r="F28" s="5">
        <f t="shared" si="0"/>
        <v>58.160000000000004</v>
      </c>
      <c r="G28" s="3" t="str">
        <f t="shared" si="1"/>
        <v>C</v>
      </c>
      <c r="H28" s="2"/>
      <c r="I28" s="2"/>
      <c r="L28" s="2"/>
      <c r="M28" s="2"/>
    </row>
    <row r="29" spans="1:14" ht="20.399999999999999" x14ac:dyDescent="0.35">
      <c r="A29" s="3">
        <v>120095</v>
      </c>
      <c r="B29" s="4" t="s">
        <v>29</v>
      </c>
      <c r="C29" s="3">
        <v>69</v>
      </c>
      <c r="D29" s="3">
        <v>62</v>
      </c>
      <c r="E29" s="3">
        <v>71</v>
      </c>
      <c r="F29" s="5">
        <f t="shared" si="0"/>
        <v>67.39</v>
      </c>
      <c r="G29" s="3" t="str">
        <f t="shared" si="1"/>
        <v>B</v>
      </c>
      <c r="H29" s="2"/>
      <c r="I29" s="2"/>
      <c r="L29" s="2"/>
      <c r="M29" s="2"/>
    </row>
    <row r="30" spans="1:14" ht="20.399999999999999" x14ac:dyDescent="0.35">
      <c r="A30" s="3">
        <v>120098</v>
      </c>
      <c r="B30" s="4" t="s">
        <v>30</v>
      </c>
      <c r="C30" s="3">
        <v>76</v>
      </c>
      <c r="D30" s="3">
        <v>81</v>
      </c>
      <c r="E30" s="3">
        <v>75</v>
      </c>
      <c r="F30" s="5">
        <f t="shared" si="0"/>
        <v>77.3</v>
      </c>
      <c r="G30" s="3" t="str">
        <f t="shared" si="1"/>
        <v>AB</v>
      </c>
      <c r="H30" s="2"/>
      <c r="I30" s="2"/>
      <c r="L30" s="2"/>
      <c r="M30" s="2"/>
    </row>
    <row r="31" spans="1:14" ht="20.399999999999999" x14ac:dyDescent="0.35">
      <c r="A31" s="3">
        <v>120099</v>
      </c>
      <c r="B31" s="4" t="s">
        <v>31</v>
      </c>
      <c r="C31" s="3">
        <v>60</v>
      </c>
      <c r="D31" s="3">
        <v>65</v>
      </c>
      <c r="E31" s="3">
        <v>64</v>
      </c>
      <c r="F31" s="5">
        <f>C31*32%+D31*33%+E31*35%</f>
        <v>63.05</v>
      </c>
      <c r="G31" s="3" t="str">
        <f t="shared" si="1"/>
        <v>BC</v>
      </c>
      <c r="H31" s="2"/>
      <c r="I31" s="2"/>
      <c r="J31" s="2"/>
      <c r="K31" s="2"/>
      <c r="L31" s="2"/>
      <c r="M31" s="2"/>
    </row>
    <row r="32" spans="1:14" ht="20.399999999999999" x14ac:dyDescent="0.35">
      <c r="I32" s="2"/>
      <c r="J32" s="2"/>
      <c r="K32" s="2"/>
      <c r="L32" s="2"/>
      <c r="M32" s="2"/>
      <c r="N32" s="2"/>
    </row>
    <row r="33" spans="2:14" ht="20.399999999999999" x14ac:dyDescent="0.35">
      <c r="I33" s="2"/>
      <c r="J33" s="2"/>
      <c r="K33" s="2"/>
      <c r="L33" s="2"/>
      <c r="M33" s="2"/>
      <c r="N33" s="2"/>
    </row>
    <row r="34" spans="2:14" ht="20.399999999999999" x14ac:dyDescent="0.35">
      <c r="B34" s="2"/>
      <c r="C34" s="2"/>
      <c r="D34" s="2"/>
      <c r="E34" s="2"/>
      <c r="F34" s="2"/>
      <c r="G34" s="2"/>
      <c r="H34"/>
    </row>
    <row r="35" spans="2:14" ht="20.399999999999999" x14ac:dyDescent="0.35">
      <c r="B35" s="2"/>
      <c r="C35" s="2"/>
      <c r="D35"/>
      <c r="E35"/>
      <c r="F35" s="2"/>
      <c r="G35" s="2"/>
      <c r="H35"/>
    </row>
    <row r="36" spans="2:14" ht="20.399999999999999" x14ac:dyDescent="0.35">
      <c r="B36" s="2"/>
      <c r="C36" s="2"/>
      <c r="D36"/>
      <c r="E36"/>
      <c r="F36" s="2"/>
      <c r="G36" s="2"/>
      <c r="H36"/>
    </row>
    <row r="37" spans="2:14" ht="20.399999999999999" x14ac:dyDescent="0.35">
      <c r="B37" s="2"/>
      <c r="C37" s="2"/>
      <c r="D37"/>
      <c r="E37"/>
      <c r="F37" s="2"/>
      <c r="G37" s="2"/>
      <c r="H37"/>
    </row>
    <row r="38" spans="2:14" x14ac:dyDescent="0.3">
      <c r="B38"/>
      <c r="C38"/>
      <c r="D38"/>
      <c r="E38"/>
      <c r="F38"/>
      <c r="G38"/>
      <c r="H38"/>
    </row>
    <row r="39" spans="2:14" x14ac:dyDescent="0.3">
      <c r="B39"/>
      <c r="C39"/>
      <c r="D39"/>
      <c r="E39"/>
      <c r="F39"/>
      <c r="G39"/>
      <c r="H39"/>
    </row>
    <row r="40" spans="2:14" x14ac:dyDescent="0.3">
      <c r="B40"/>
      <c r="C40"/>
      <c r="D40"/>
      <c r="E40"/>
      <c r="F40"/>
      <c r="G40"/>
      <c r="H40"/>
    </row>
    <row r="41" spans="2:14" x14ac:dyDescent="0.3">
      <c r="B41"/>
      <c r="C41"/>
      <c r="D41"/>
      <c r="E41"/>
      <c r="F41"/>
      <c r="G41"/>
      <c r="H41"/>
    </row>
    <row r="42" spans="2:14" x14ac:dyDescent="0.3">
      <c r="B42"/>
      <c r="C42"/>
      <c r="D42"/>
      <c r="E42"/>
      <c r="F42"/>
      <c r="G42"/>
      <c r="H42"/>
    </row>
    <row r="43" spans="2:14" x14ac:dyDescent="0.3">
      <c r="B43"/>
      <c r="C43"/>
      <c r="D43"/>
      <c r="E43"/>
      <c r="F43"/>
      <c r="G43"/>
      <c r="H43"/>
    </row>
    <row r="44" spans="2:14" x14ac:dyDescent="0.3">
      <c r="B44"/>
      <c r="C44"/>
      <c r="D44"/>
      <c r="E44"/>
      <c r="F44"/>
      <c r="G44"/>
      <c r="H44"/>
    </row>
    <row r="45" spans="2:14" x14ac:dyDescent="0.3">
      <c r="B45"/>
      <c r="C45"/>
      <c r="D45"/>
      <c r="E45"/>
      <c r="F45"/>
      <c r="G45"/>
      <c r="H45"/>
    </row>
    <row r="46" spans="2:14" x14ac:dyDescent="0.3">
      <c r="B46"/>
      <c r="C46"/>
      <c r="D46"/>
      <c r="E46"/>
      <c r="F46"/>
      <c r="G46"/>
      <c r="H46"/>
    </row>
    <row r="47" spans="2:14" x14ac:dyDescent="0.3">
      <c r="B47"/>
      <c r="C47"/>
      <c r="D47"/>
      <c r="E47"/>
      <c r="F47"/>
      <c r="G47"/>
      <c r="H47"/>
    </row>
    <row r="48" spans="2:14" x14ac:dyDescent="0.3">
      <c r="B48"/>
      <c r="C48"/>
      <c r="D48"/>
      <c r="E48"/>
      <c r="F48"/>
      <c r="G48"/>
      <c r="H48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RAFI</cp:lastModifiedBy>
  <dcterms:created xsi:type="dcterms:W3CDTF">2026-09-15T00:47:47Z</dcterms:created>
  <dcterms:modified xsi:type="dcterms:W3CDTF">2026-09-22T01:02:00Z</dcterms:modified>
</cp:coreProperties>
</file>